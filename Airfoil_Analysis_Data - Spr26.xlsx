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oma1794_colorado_edu/Documents/Course Materials/ASEN 2502/Spr 26 Course Materials/Labs/Design Lab/Airfoil Analysis/Airfoil Analysis Materials (Spr26)/"/>
    </mc:Choice>
  </mc:AlternateContent>
  <xr:revisionPtr revIDLastSave="117" documentId="8_{F4CC269D-7751-4B00-B5C9-A20B5F9DAEE5}" xr6:coauthVersionLast="47" xr6:coauthVersionMax="47" xr10:uidLastSave="{AFA93602-1DBB-4419-8AA8-FA3678B2067F}"/>
  <bookViews>
    <workbookView minimized="1" xWindow="7296" yWindow="3360" windowWidth="21504" windowHeight="13560" firstSheet="2" activeTab="2" xr2:uid="{F9036442-A556-4064-A587-223DFBAB32CF}"/>
  </bookViews>
  <sheets>
    <sheet name="WT_DATASET_1" sheetId="1" r:id="rId1"/>
    <sheet name="Airfoil_Press_Ports" sheetId="3" r:id="rId2"/>
    <sheet name="XFOIL_ClarkY-15_Data" sheetId="5" r:id="rId3"/>
    <sheet name="NACA_Exp_ClarkY-14_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3" i="3"/>
</calcChain>
</file>

<file path=xl/sharedStrings.xml><?xml version="1.0" encoding="utf-8"?>
<sst xmlns="http://schemas.openxmlformats.org/spreadsheetml/2006/main" count="92" uniqueCount="58">
  <si>
    <t>AoA</t>
  </si>
  <si>
    <t>P_atm</t>
  </si>
  <si>
    <t>T_atm</t>
  </si>
  <si>
    <t>Pitot_Static_test</t>
  </si>
  <si>
    <t>P_test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</si>
  <si>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</si>
  <si>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</si>
  <si>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</si>
  <si>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</si>
  <si>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</si>
  <si>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</si>
  <si>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</si>
  <si>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</si>
  <si>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</si>
  <si>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</si>
  <si>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</si>
  <si>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</si>
  <si>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</si>
  <si>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</si>
  <si>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</si>
  <si>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</si>
  <si>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deg</t>
  </si>
  <si>
    <t>N/m^2</t>
  </si>
  <si>
    <t>K</t>
  </si>
  <si>
    <t>Port</t>
  </si>
  <si>
    <t>X</t>
  </si>
  <si>
    <t>Y</t>
  </si>
  <si>
    <t>X/c</t>
  </si>
  <si>
    <t>Segment</t>
  </si>
  <si>
    <t>DeltaX</t>
  </si>
  <si>
    <t>DeltaY</t>
  </si>
  <si>
    <t>m</t>
  </si>
  <si>
    <t>-</t>
  </si>
  <si>
    <t>1-2</t>
  </si>
  <si>
    <t>2-3</t>
  </si>
  <si>
    <t>3-4</t>
  </si>
  <si>
    <t>4-5</t>
  </si>
  <si>
    <t>5-6</t>
  </si>
  <si>
    <t>6-7</t>
  </si>
  <si>
    <t>7-8</t>
  </si>
  <si>
    <t>8-9</t>
  </si>
  <si>
    <t>9-TE</t>
  </si>
  <si>
    <t>TE</t>
  </si>
  <si>
    <t>TE-10</t>
  </si>
  <si>
    <t>10-11</t>
  </si>
  <si>
    <t>11-12</t>
  </si>
  <si>
    <t>12-13</t>
  </si>
  <si>
    <t>13-14</t>
  </si>
  <si>
    <t>14-15</t>
  </si>
  <si>
    <t>15-16</t>
  </si>
  <si>
    <t>16-1</t>
  </si>
  <si>
    <t>Xfoil Clark Y-15 Model Analysis</t>
  </si>
  <si>
    <t>Url</t>
  </si>
  <si>
    <t>http://www.airfoiltools.com/polar/csv?polar=xf-clarym15-il-100000</t>
  </si>
  <si>
    <t>Re</t>
  </si>
  <si>
    <t>Cl</t>
  </si>
  <si>
    <t>Cd</t>
  </si>
  <si>
    <t>Clark Y-14  Approximate Values from NACA TR 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</si>
</sst>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BE8A-9C90-4D65-B4C4-FF2A85783730}">
  <dimension ref="A1:U26"/>
  <sheetViews>
    <sheetView workbookViewId="0">
      <selection activeCell="V36" sqref="V36"/>
    </sheetView>
  </sheetViews>
  <sheetFormatPr defaultRowHeight="14.45"/>
  <cols>
    <col min="4" max="4" width="14.85546875" bestFit="1" customWidth="1"/>
  </cols>
  <sheetData>
    <row r="1" spans="1: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>
      <c r="A2" s="8" t="s">
        <v>21</v>
      </c>
      <c r="B2" s="8" t="s">
        <v>22</v>
      </c>
      <c r="C2" s="8" t="s">
        <v>23</v>
      </c>
      <c r="D2" s="8" t="s">
        <v>22</v>
      </c>
      <c r="E2" s="8" t="s">
        <v>22</v>
      </c>
      <c r="F2" s="8" t="s">
        <v>22</v>
      </c>
      <c r="G2" s="8" t="s">
        <v>22</v>
      </c>
      <c r="H2" s="8" t="s">
        <v>22</v>
      </c>
      <c r="I2" s="8" t="s">
        <v>22</v>
      </c>
      <c r="J2" s="8" t="s">
        <v>22</v>
      </c>
      <c r="K2" s="8" t="s">
        <v>22</v>
      </c>
      <c r="L2" s="8" t="s">
        <v>22</v>
      </c>
      <c r="M2" s="8" t="s">
        <v>22</v>
      </c>
      <c r="N2" s="8" t="s">
        <v>22</v>
      </c>
      <c r="O2" s="8" t="s">
        <v>22</v>
      </c>
      <c r="P2" s="8" t="s">
        <v>22</v>
      </c>
      <c r="Q2" s="8" t="s">
        <v>22</v>
      </c>
      <c r="R2" s="8" t="s">
        <v>22</v>
      </c>
      <c r="S2" s="8" t="s">
        <v>22</v>
      </c>
      <c r="T2" s="8" t="s">
        <v>22</v>
      </c>
      <c r="U2" s="8" t="s">
        <v>22</v>
      </c>
    </row>
    <row r="3" spans="1:21">
      <c r="A3" s="7">
        <v>-8</v>
      </c>
      <c r="B3" s="7">
        <v>83013.155599999998</v>
      </c>
      <c r="C3" s="7">
        <v>294.58085</v>
      </c>
      <c r="D3" s="7">
        <v>109.35525</v>
      </c>
      <c r="E3" s="7">
        <v>82903.800350000005</v>
      </c>
      <c r="F3" s="7">
        <v>82946.737550000005</v>
      </c>
      <c r="G3" s="7">
        <v>82949.201350000003</v>
      </c>
      <c r="H3" s="7">
        <v>82925.33915</v>
      </c>
      <c r="I3" s="7">
        <v>82848.568549999996</v>
      </c>
      <c r="J3" s="7">
        <v>82839.275649999996</v>
      </c>
      <c r="K3" s="7">
        <v>82834.267749999999</v>
      </c>
      <c r="L3" s="7">
        <v>82848.522700000001</v>
      </c>
      <c r="M3" s="7">
        <v>82842.588600000003</v>
      </c>
      <c r="N3" s="7">
        <v>82992.310700000002</v>
      </c>
      <c r="O3" s="7">
        <v>82825.446899999995</v>
      </c>
      <c r="P3" s="7">
        <v>82820.161550000004</v>
      </c>
      <c r="Q3" s="7">
        <v>82807.787450000003</v>
      </c>
      <c r="R3" s="7">
        <v>82848.991500000004</v>
      </c>
      <c r="S3" s="7">
        <v>82795.241999999998</v>
      </c>
      <c r="T3" s="7">
        <v>82960.272349999999</v>
      </c>
      <c r="U3" s="7">
        <v>82803.463050000006</v>
      </c>
    </row>
    <row r="4" spans="1:21">
      <c r="A4" s="7">
        <v>-7</v>
      </c>
      <c r="B4" s="7">
        <v>82982.595050000004</v>
      </c>
      <c r="C4" s="7">
        <v>294.56959999999998</v>
      </c>
      <c r="D4" s="7">
        <v>108.4076</v>
      </c>
      <c r="E4" s="7">
        <v>82874.187449999998</v>
      </c>
      <c r="F4" s="7">
        <v>82909.940350000004</v>
      </c>
      <c r="G4" s="7">
        <v>82921.230249999993</v>
      </c>
      <c r="H4" s="7">
        <v>82897.241450000001</v>
      </c>
      <c r="I4" s="7">
        <v>82823.8315</v>
      </c>
      <c r="J4" s="7">
        <v>82816.017049999995</v>
      </c>
      <c r="K4" s="7">
        <v>82812.999249999993</v>
      </c>
      <c r="L4" s="7">
        <v>82827.8995</v>
      </c>
      <c r="M4" s="7">
        <v>82827.420549999995</v>
      </c>
      <c r="N4" s="7">
        <v>82962.758900000001</v>
      </c>
      <c r="O4" s="7">
        <v>82823.117499999993</v>
      </c>
      <c r="P4" s="7">
        <v>82810.736149999997</v>
      </c>
      <c r="Q4" s="7">
        <v>82768.833499999993</v>
      </c>
      <c r="R4" s="7">
        <v>82812.315100000007</v>
      </c>
      <c r="S4" s="7">
        <v>82749.154299999995</v>
      </c>
      <c r="T4" s="7">
        <v>82925.576549999998</v>
      </c>
      <c r="U4" s="7">
        <v>82759.120699999999</v>
      </c>
    </row>
    <row r="5" spans="1:21">
      <c r="A5" s="7">
        <v>-6</v>
      </c>
      <c r="B5" s="7">
        <v>82999.804449999996</v>
      </c>
      <c r="C5" s="7">
        <v>294.47834999999998</v>
      </c>
      <c r="D5" s="7">
        <v>109.98775000000001</v>
      </c>
      <c r="E5" s="7">
        <v>82889.816699999996</v>
      </c>
      <c r="F5" s="7">
        <v>82912.205100000006</v>
      </c>
      <c r="G5" s="7">
        <v>82936.792499999996</v>
      </c>
      <c r="H5" s="7">
        <v>82912.030199999994</v>
      </c>
      <c r="I5" s="7">
        <v>82837.388049999994</v>
      </c>
      <c r="J5" s="7">
        <v>82830.496199999994</v>
      </c>
      <c r="K5" s="7">
        <v>82828.564100000003</v>
      </c>
      <c r="L5" s="7">
        <v>82844.326000000001</v>
      </c>
      <c r="M5" s="7">
        <v>82845.144350000002</v>
      </c>
      <c r="N5" s="7">
        <v>82979.831399999995</v>
      </c>
      <c r="O5" s="7">
        <v>82864.065449999995</v>
      </c>
      <c r="P5" s="7">
        <v>82866.660550000001</v>
      </c>
      <c r="Q5" s="7">
        <v>82835.104649999994</v>
      </c>
      <c r="R5" s="7">
        <v>82845.159849999996</v>
      </c>
      <c r="S5" s="7">
        <v>82739.529949999996</v>
      </c>
      <c r="T5" s="7">
        <v>82930.209350000005</v>
      </c>
      <c r="U5" s="7">
        <v>82726.388699999996</v>
      </c>
    </row>
    <row r="6" spans="1:21">
      <c r="A6" s="7">
        <v>-5</v>
      </c>
      <c r="B6" s="7">
        <v>82962.983500000002</v>
      </c>
      <c r="C6" s="7">
        <v>294.65969999999999</v>
      </c>
      <c r="D6" s="7">
        <v>113.64790000000001</v>
      </c>
      <c r="E6" s="7">
        <v>82849.335600000006</v>
      </c>
      <c r="F6" s="7">
        <v>82891.361749999996</v>
      </c>
      <c r="G6" s="7">
        <v>82881.8272</v>
      </c>
      <c r="H6" s="7">
        <v>82859.138699999996</v>
      </c>
      <c r="I6" s="7">
        <v>82780.713499999998</v>
      </c>
      <c r="J6" s="7">
        <v>82776.615749999997</v>
      </c>
      <c r="K6" s="7">
        <v>82776.490999999995</v>
      </c>
      <c r="L6" s="7">
        <v>82795.475900000005</v>
      </c>
      <c r="M6" s="7">
        <v>82797.1829</v>
      </c>
      <c r="N6" s="7">
        <v>82941.201050000003</v>
      </c>
      <c r="O6" s="7">
        <v>82827.685949999999</v>
      </c>
      <c r="P6" s="7">
        <v>82828.737099999998</v>
      </c>
      <c r="Q6" s="7">
        <v>82810.15595</v>
      </c>
      <c r="R6" s="7">
        <v>82840.457850000006</v>
      </c>
      <c r="S6" s="7">
        <v>82700.601049999997</v>
      </c>
      <c r="T6" s="7">
        <v>82897.697849999997</v>
      </c>
      <c r="U6" s="7">
        <v>82703.9709</v>
      </c>
    </row>
    <row r="7" spans="1:21">
      <c r="A7" s="7">
        <v>-4</v>
      </c>
      <c r="B7" s="7">
        <v>83009.813750000001</v>
      </c>
      <c r="C7" s="7">
        <v>294.57240000000002</v>
      </c>
      <c r="D7" s="7">
        <v>111.27755000000001</v>
      </c>
      <c r="E7" s="7">
        <v>82898.536200000002</v>
      </c>
      <c r="F7" s="7">
        <v>82960.183399999994</v>
      </c>
      <c r="G7" s="7">
        <v>82914.739799999996</v>
      </c>
      <c r="H7" s="7">
        <v>82897.445800000001</v>
      </c>
      <c r="I7" s="7">
        <v>82821.853700000007</v>
      </c>
      <c r="J7" s="7">
        <v>82820.768599999996</v>
      </c>
      <c r="K7" s="7">
        <v>82822.125199999995</v>
      </c>
      <c r="L7" s="7">
        <v>82842.343049999996</v>
      </c>
      <c r="M7" s="7">
        <v>82843.22</v>
      </c>
      <c r="N7" s="7">
        <v>82985.681949999998</v>
      </c>
      <c r="O7" s="7">
        <v>82880.649600000004</v>
      </c>
      <c r="P7" s="7">
        <v>82881.186100000006</v>
      </c>
      <c r="Q7" s="7">
        <v>82864.408150000003</v>
      </c>
      <c r="R7" s="7">
        <v>82883.065499999997</v>
      </c>
      <c r="S7" s="7">
        <v>82781.121350000001</v>
      </c>
      <c r="T7" s="7">
        <v>82951.296000000002</v>
      </c>
      <c r="U7" s="7">
        <v>82772.214049999995</v>
      </c>
    </row>
    <row r="8" spans="1:21">
      <c r="A8" s="7">
        <v>-3</v>
      </c>
      <c r="B8" s="7">
        <v>83001.024950000006</v>
      </c>
      <c r="C8" s="7">
        <v>294.65255000000002</v>
      </c>
      <c r="D8" s="7">
        <v>110.01125</v>
      </c>
      <c r="E8" s="7">
        <v>82891.013699999996</v>
      </c>
      <c r="F8" s="7">
        <v>82972.052599999995</v>
      </c>
      <c r="G8" s="7">
        <v>82891.483749999999</v>
      </c>
      <c r="H8" s="7">
        <v>82878.851850000006</v>
      </c>
      <c r="I8" s="7">
        <v>82803.436199999996</v>
      </c>
      <c r="J8" s="7">
        <v>82805.158750000002</v>
      </c>
      <c r="K8" s="7">
        <v>82808.793350000007</v>
      </c>
      <c r="L8" s="7">
        <v>82830.690350000004</v>
      </c>
      <c r="M8" s="7">
        <v>82830.599499999997</v>
      </c>
      <c r="N8" s="7">
        <v>82977.812699999995</v>
      </c>
      <c r="O8" s="7">
        <v>82875.091750000007</v>
      </c>
      <c r="P8" s="7">
        <v>82875.920750000005</v>
      </c>
      <c r="Q8" s="7">
        <v>82859.591849999997</v>
      </c>
      <c r="R8" s="7">
        <v>82881.969500000007</v>
      </c>
      <c r="S8" s="7">
        <v>82793.825299999997</v>
      </c>
      <c r="T8" s="7">
        <v>82948.518949999998</v>
      </c>
      <c r="U8" s="7">
        <v>82772.804999999993</v>
      </c>
    </row>
    <row r="9" spans="1:21">
      <c r="A9" s="7">
        <v>-2</v>
      </c>
      <c r="B9" s="7">
        <v>83019.358049999995</v>
      </c>
      <c r="C9" s="7">
        <v>294.46854999999999</v>
      </c>
      <c r="D9" s="7">
        <v>110.25985</v>
      </c>
      <c r="E9" s="7">
        <v>82909.098199999993</v>
      </c>
      <c r="F9" s="7">
        <v>83006.308650000006</v>
      </c>
      <c r="G9" s="7">
        <v>82887.019100000005</v>
      </c>
      <c r="H9" s="7">
        <v>82882.007150000005</v>
      </c>
      <c r="I9" s="7">
        <v>82807.023549999998</v>
      </c>
      <c r="J9" s="7">
        <v>82812.635049999997</v>
      </c>
      <c r="K9" s="7">
        <v>82818.452650000007</v>
      </c>
      <c r="L9" s="7">
        <v>82842.8079</v>
      </c>
      <c r="M9" s="7">
        <v>82840.870899999994</v>
      </c>
      <c r="N9" s="7">
        <v>82994.258799999996</v>
      </c>
      <c r="O9" s="7">
        <v>82896.386599999998</v>
      </c>
      <c r="P9" s="7">
        <v>82896.831999999995</v>
      </c>
      <c r="Q9" s="7">
        <v>82880.17555</v>
      </c>
      <c r="R9" s="7">
        <v>82902.217749999996</v>
      </c>
      <c r="S9" s="7">
        <v>82840.0527</v>
      </c>
      <c r="T9" s="7">
        <v>82970.891900000002</v>
      </c>
      <c r="U9" s="7">
        <v>82806.16545</v>
      </c>
    </row>
    <row r="10" spans="1:21">
      <c r="A10" s="7">
        <v>-1</v>
      </c>
      <c r="B10" s="7">
        <v>83047.968250000005</v>
      </c>
      <c r="C10" s="7">
        <v>294.46735000000001</v>
      </c>
      <c r="D10" s="7">
        <v>109.89155</v>
      </c>
      <c r="E10" s="7">
        <v>82938.076700000005</v>
      </c>
      <c r="F10" s="7">
        <v>83044.720849999998</v>
      </c>
      <c r="G10" s="7">
        <v>82888.790299999993</v>
      </c>
      <c r="H10" s="7">
        <v>82892.946599999996</v>
      </c>
      <c r="I10" s="7">
        <v>82819.082750000001</v>
      </c>
      <c r="J10" s="7">
        <v>82829.088499999998</v>
      </c>
      <c r="K10" s="7">
        <v>82838.149050000007</v>
      </c>
      <c r="L10" s="7">
        <v>82864.448099999994</v>
      </c>
      <c r="M10" s="7">
        <v>82859.846799999999</v>
      </c>
      <c r="N10" s="7">
        <v>83021.811149999994</v>
      </c>
      <c r="O10" s="7">
        <v>82924.885649999997</v>
      </c>
      <c r="P10" s="7">
        <v>82927.4136</v>
      </c>
      <c r="Q10" s="7">
        <v>82911.902449999994</v>
      </c>
      <c r="R10" s="7">
        <v>82940.228600000002</v>
      </c>
      <c r="S10" s="7">
        <v>82891.969899999996</v>
      </c>
      <c r="T10" s="7">
        <v>83004.792300000001</v>
      </c>
      <c r="U10" s="7">
        <v>82858.302549999993</v>
      </c>
    </row>
    <row r="11" spans="1:21">
      <c r="A11" s="7">
        <v>0</v>
      </c>
      <c r="B11" s="7">
        <v>83003.717900000003</v>
      </c>
      <c r="C11" s="7">
        <v>294.50810000000001</v>
      </c>
      <c r="D11" s="7">
        <v>109.33445</v>
      </c>
      <c r="E11" s="7">
        <v>82894.383449999994</v>
      </c>
      <c r="F11" s="7">
        <v>83002.673949999997</v>
      </c>
      <c r="G11" s="7">
        <v>82813.7929</v>
      </c>
      <c r="H11" s="7">
        <v>82829.591100000005</v>
      </c>
      <c r="I11" s="7">
        <v>82756.491599999994</v>
      </c>
      <c r="J11" s="7">
        <v>82771.202050000007</v>
      </c>
      <c r="K11" s="7">
        <v>82782.972200000004</v>
      </c>
      <c r="L11" s="7">
        <v>82811.442899999995</v>
      </c>
      <c r="M11" s="7">
        <v>82803.336550000007</v>
      </c>
      <c r="N11" s="7">
        <v>82977.704199999993</v>
      </c>
      <c r="O11" s="7">
        <v>82884.189199999993</v>
      </c>
      <c r="P11" s="7">
        <v>82887.575299999997</v>
      </c>
      <c r="Q11" s="7">
        <v>82873.238899999997</v>
      </c>
      <c r="R11" s="7">
        <v>82901.918099999995</v>
      </c>
      <c r="S11" s="7">
        <v>82858.486399999994</v>
      </c>
      <c r="T11" s="7">
        <v>82966.3897</v>
      </c>
      <c r="U11" s="7">
        <v>82838.544649999996</v>
      </c>
    </row>
    <row r="12" spans="1:21">
      <c r="A12" s="7">
        <v>1</v>
      </c>
      <c r="B12" s="7">
        <v>82966.3122</v>
      </c>
      <c r="C12" s="7">
        <v>294.49275</v>
      </c>
      <c r="D12" s="7">
        <v>111.06489999999999</v>
      </c>
      <c r="E12" s="7">
        <v>82855.247300000003</v>
      </c>
      <c r="F12" s="7">
        <v>82962.709099999993</v>
      </c>
      <c r="G12" s="7">
        <v>82749.729049999994</v>
      </c>
      <c r="H12" s="7">
        <v>82775.448950000005</v>
      </c>
      <c r="I12" s="7">
        <v>82705.108049999995</v>
      </c>
      <c r="J12" s="7">
        <v>82723.70865</v>
      </c>
      <c r="K12" s="7">
        <v>82737.284799999994</v>
      </c>
      <c r="L12" s="7">
        <v>82766.556299999997</v>
      </c>
      <c r="M12" s="7">
        <v>82756.3321</v>
      </c>
      <c r="N12" s="7">
        <v>82941.845300000001</v>
      </c>
      <c r="O12" s="7">
        <v>82847.017900000006</v>
      </c>
      <c r="P12" s="7">
        <v>82851.429350000006</v>
      </c>
      <c r="Q12" s="7">
        <v>82838.357300000003</v>
      </c>
      <c r="R12" s="7">
        <v>82867.703150000001</v>
      </c>
      <c r="S12" s="7">
        <v>82828.254050000003</v>
      </c>
      <c r="T12" s="7">
        <v>82930.292799999996</v>
      </c>
      <c r="U12" s="7">
        <v>82819.329849999995</v>
      </c>
    </row>
    <row r="13" spans="1:21">
      <c r="A13" s="7">
        <v>2</v>
      </c>
      <c r="B13" s="7">
        <v>83004.525049999997</v>
      </c>
      <c r="C13" s="7">
        <v>294.3064</v>
      </c>
      <c r="D13" s="7">
        <v>110.63735</v>
      </c>
      <c r="E13" s="7">
        <v>82893.887700000007</v>
      </c>
      <c r="F13" s="7">
        <v>82996.40135</v>
      </c>
      <c r="G13" s="7">
        <v>82763.073699999994</v>
      </c>
      <c r="H13" s="7">
        <v>82798.692899999995</v>
      </c>
      <c r="I13" s="7">
        <v>82732.592050000007</v>
      </c>
      <c r="J13" s="7">
        <v>82754.628500000006</v>
      </c>
      <c r="K13" s="7">
        <v>82770.753599999996</v>
      </c>
      <c r="L13" s="7">
        <v>82798.047000000006</v>
      </c>
      <c r="M13" s="7">
        <v>82785.631899999993</v>
      </c>
      <c r="N13" s="7">
        <v>82982.38725</v>
      </c>
      <c r="O13" s="7">
        <v>82886.914300000004</v>
      </c>
      <c r="P13" s="7">
        <v>82891.456950000007</v>
      </c>
      <c r="Q13" s="7">
        <v>82880.7739</v>
      </c>
      <c r="R13" s="7">
        <v>82910.515950000001</v>
      </c>
      <c r="S13" s="7">
        <v>82874.846999999994</v>
      </c>
      <c r="T13" s="7">
        <v>82971.506949999995</v>
      </c>
      <c r="U13" s="7">
        <v>82875.931549999994</v>
      </c>
    </row>
    <row r="14" spans="1:21">
      <c r="A14" s="7">
        <v>3</v>
      </c>
      <c r="B14" s="7">
        <v>83014.818400000004</v>
      </c>
      <c r="C14" s="7">
        <v>294.31029999999998</v>
      </c>
      <c r="D14" s="7">
        <v>109.05775</v>
      </c>
      <c r="E14" s="7">
        <v>82905.760649999997</v>
      </c>
      <c r="F14" s="7">
        <v>82996.735499999995</v>
      </c>
      <c r="G14" s="7">
        <v>82750.744200000001</v>
      </c>
      <c r="H14" s="7">
        <v>82797.163799999995</v>
      </c>
      <c r="I14" s="7">
        <v>82734.541400000002</v>
      </c>
      <c r="J14" s="7">
        <v>82759.731849999996</v>
      </c>
      <c r="K14" s="7">
        <v>82775.328399999999</v>
      </c>
      <c r="L14" s="7">
        <v>82802.098299999998</v>
      </c>
      <c r="M14" s="7">
        <v>82785.997199999998</v>
      </c>
      <c r="N14" s="7">
        <v>82994.780199999994</v>
      </c>
      <c r="O14" s="7">
        <v>82900.183999999994</v>
      </c>
      <c r="P14" s="7">
        <v>82905.756299999994</v>
      </c>
      <c r="Q14" s="7">
        <v>82896.248000000007</v>
      </c>
      <c r="R14" s="7">
        <v>82926.453550000006</v>
      </c>
      <c r="S14" s="7">
        <v>82893.706250000003</v>
      </c>
      <c r="T14" s="7">
        <v>82985.643049999999</v>
      </c>
      <c r="U14" s="7">
        <v>82903.834950000004</v>
      </c>
    </row>
    <row r="15" spans="1:21">
      <c r="A15" s="7">
        <v>4</v>
      </c>
      <c r="B15" s="7">
        <v>83205.287549999994</v>
      </c>
      <c r="C15" s="7">
        <v>293.74489999999997</v>
      </c>
      <c r="D15" s="7">
        <v>111.38285</v>
      </c>
      <c r="E15" s="7">
        <v>83093.904699999999</v>
      </c>
      <c r="F15" s="7">
        <v>83159.758400000006</v>
      </c>
      <c r="G15" s="7">
        <v>82893.013800000001</v>
      </c>
      <c r="H15" s="7">
        <v>82957.277650000004</v>
      </c>
      <c r="I15" s="7">
        <v>82896.03645</v>
      </c>
      <c r="J15" s="7">
        <v>82925.545549999995</v>
      </c>
      <c r="K15" s="7">
        <v>82940.902199999997</v>
      </c>
      <c r="L15" s="7">
        <v>82968.646649999995</v>
      </c>
      <c r="M15" s="7">
        <v>82985.688599999994</v>
      </c>
      <c r="N15" s="7">
        <v>83186.570300000007</v>
      </c>
      <c r="O15" s="7">
        <v>83090.047600000005</v>
      </c>
      <c r="P15" s="7">
        <v>83097.042700000005</v>
      </c>
      <c r="Q15" s="7">
        <v>83088.629799999995</v>
      </c>
      <c r="R15" s="7">
        <v>83120.6495</v>
      </c>
      <c r="S15" s="7">
        <v>83090.346000000005</v>
      </c>
      <c r="T15" s="7">
        <v>83181.103149999995</v>
      </c>
      <c r="U15" s="7">
        <v>83111.637749999994</v>
      </c>
    </row>
    <row r="16" spans="1:21">
      <c r="A16" s="7">
        <v>5</v>
      </c>
      <c r="B16" s="7">
        <v>83206.133499999996</v>
      </c>
      <c r="C16" s="7">
        <v>293.7724</v>
      </c>
      <c r="D16" s="7">
        <v>108.87925</v>
      </c>
      <c r="E16" s="7">
        <v>83097.254249999998</v>
      </c>
      <c r="F16" s="7">
        <v>83130.460399999996</v>
      </c>
      <c r="G16" s="7">
        <v>82879.041750000004</v>
      </c>
      <c r="H16" s="7">
        <v>82952.508900000001</v>
      </c>
      <c r="I16" s="7">
        <v>82898.994349999994</v>
      </c>
      <c r="J16" s="7">
        <v>82927.901700000002</v>
      </c>
      <c r="K16" s="7">
        <v>82938.556899999996</v>
      </c>
      <c r="L16" s="7">
        <v>82963.835399999996</v>
      </c>
      <c r="M16" s="7">
        <v>83015.253100000002</v>
      </c>
      <c r="N16" s="7">
        <v>83184.780050000001</v>
      </c>
      <c r="O16" s="7">
        <v>83094.632549999995</v>
      </c>
      <c r="P16" s="7">
        <v>83102.262400000007</v>
      </c>
      <c r="Q16" s="7">
        <v>83095.336649999997</v>
      </c>
      <c r="R16" s="7">
        <v>83126.56985</v>
      </c>
      <c r="S16" s="7">
        <v>83100.384300000005</v>
      </c>
      <c r="T16" s="7">
        <v>83182.661600000007</v>
      </c>
      <c r="U16" s="7">
        <v>83127.399999999994</v>
      </c>
    </row>
    <row r="17" spans="1:21">
      <c r="A17" s="7">
        <v>6</v>
      </c>
      <c r="B17" s="7">
        <v>83195.954775000006</v>
      </c>
      <c r="C17" s="7">
        <v>293.77052500000002</v>
      </c>
      <c r="D17" s="7">
        <v>111.19612499999999</v>
      </c>
      <c r="E17" s="7">
        <v>83084.758650000003</v>
      </c>
      <c r="F17" s="7">
        <v>83070.038499999995</v>
      </c>
      <c r="G17" s="7">
        <v>82819.875</v>
      </c>
      <c r="H17" s="7">
        <v>82913.004149999993</v>
      </c>
      <c r="I17" s="7">
        <v>82864.206774999999</v>
      </c>
      <c r="J17" s="7">
        <v>82892.894700000004</v>
      </c>
      <c r="K17" s="7">
        <v>82899.525825000004</v>
      </c>
      <c r="L17" s="7">
        <v>82924.638024999993</v>
      </c>
      <c r="M17" s="7">
        <v>82996.643800000005</v>
      </c>
      <c r="N17" s="7">
        <v>83175.335449999999</v>
      </c>
      <c r="O17" s="7">
        <v>83082.465425000002</v>
      </c>
      <c r="P17" s="7">
        <v>83091.700425000003</v>
      </c>
      <c r="Q17" s="7">
        <v>83086.222150000001</v>
      </c>
      <c r="R17" s="7">
        <v>83119.218699999998</v>
      </c>
      <c r="S17" s="7">
        <v>83095.439224999995</v>
      </c>
      <c r="T17" s="7">
        <v>83176.422875000004</v>
      </c>
      <c r="U17" s="7">
        <v>83130.730775000004</v>
      </c>
    </row>
    <row r="18" spans="1:21">
      <c r="A18" s="7">
        <v>7</v>
      </c>
      <c r="B18" s="7">
        <v>83200.450750000004</v>
      </c>
      <c r="C18" s="7">
        <v>293.7747</v>
      </c>
      <c r="D18" s="7">
        <v>111.143</v>
      </c>
      <c r="E18" s="7">
        <v>83089.307750000007</v>
      </c>
      <c r="F18" s="7">
        <v>83035.118600000002</v>
      </c>
      <c r="G18" s="7">
        <v>82801.210399999996</v>
      </c>
      <c r="H18" s="7">
        <v>82904.948499999999</v>
      </c>
      <c r="I18" s="7">
        <v>82861.407300000006</v>
      </c>
      <c r="J18" s="7">
        <v>82887.126000000004</v>
      </c>
      <c r="K18" s="7">
        <v>82891.365399999995</v>
      </c>
      <c r="L18" s="7">
        <v>82930.973700000002</v>
      </c>
      <c r="M18" s="7">
        <v>82997.868600000002</v>
      </c>
      <c r="N18" s="7">
        <v>83179.255449999997</v>
      </c>
      <c r="O18" s="7">
        <v>83087.880300000004</v>
      </c>
      <c r="P18" s="7">
        <v>83097.982149999996</v>
      </c>
      <c r="Q18" s="7">
        <v>83093.575400000002</v>
      </c>
      <c r="R18" s="7">
        <v>83126.990449999998</v>
      </c>
      <c r="S18" s="7">
        <v>83105.376900000003</v>
      </c>
      <c r="T18" s="7">
        <v>83182.363549999995</v>
      </c>
      <c r="U18" s="7">
        <v>83144.363649999999</v>
      </c>
    </row>
    <row r="19" spans="1:21">
      <c r="A19" s="7">
        <v>8</v>
      </c>
      <c r="B19" s="7">
        <v>83218.596600000004</v>
      </c>
      <c r="C19" s="7">
        <v>293.86405000000002</v>
      </c>
      <c r="D19" s="7">
        <v>111.04835</v>
      </c>
      <c r="E19" s="7">
        <v>83107.548250000007</v>
      </c>
      <c r="F19" s="7">
        <v>82983.64675</v>
      </c>
      <c r="G19" s="7">
        <v>82771.766600000003</v>
      </c>
      <c r="H19" s="7">
        <v>82896.017000000007</v>
      </c>
      <c r="I19" s="7">
        <v>82855.067150000003</v>
      </c>
      <c r="J19" s="7">
        <v>82876.748000000007</v>
      </c>
      <c r="K19" s="7">
        <v>82879.508499999996</v>
      </c>
      <c r="L19" s="7">
        <v>82981.782449999999</v>
      </c>
      <c r="M19" s="7">
        <v>83007.709900000002</v>
      </c>
      <c r="N19" s="7">
        <v>83199.589749999999</v>
      </c>
      <c r="O19" s="7">
        <v>83106.594700000001</v>
      </c>
      <c r="P19" s="7">
        <v>83117.871650000001</v>
      </c>
      <c r="Q19" s="7">
        <v>83114.912800000006</v>
      </c>
      <c r="R19" s="7">
        <v>83149.676099999997</v>
      </c>
      <c r="S19" s="7">
        <v>83130.411699999997</v>
      </c>
      <c r="T19" s="7">
        <v>83205.536550000004</v>
      </c>
      <c r="U19" s="7">
        <v>83175.597850000006</v>
      </c>
    </row>
    <row r="20" spans="1:21">
      <c r="A20" s="7">
        <v>9</v>
      </c>
      <c r="B20" s="7">
        <v>83222.251449999996</v>
      </c>
      <c r="C20" s="7">
        <v>293.87315000000001</v>
      </c>
      <c r="D20" s="7">
        <v>127.0518</v>
      </c>
      <c r="E20" s="7">
        <v>83095.199649999995</v>
      </c>
      <c r="F20" s="7">
        <v>82865.679999999993</v>
      </c>
      <c r="G20" s="7">
        <v>82677.861650000006</v>
      </c>
      <c r="H20" s="7">
        <v>82833.044349999996</v>
      </c>
      <c r="I20" s="7">
        <v>82786.192949999997</v>
      </c>
      <c r="J20" s="7">
        <v>82816.531199999998</v>
      </c>
      <c r="K20" s="7">
        <v>82892.704899999997</v>
      </c>
      <c r="L20" s="7">
        <v>82954.147800000006</v>
      </c>
      <c r="M20" s="7">
        <v>82985.167950000003</v>
      </c>
      <c r="N20" s="7">
        <v>83198.107900000003</v>
      </c>
      <c r="O20" s="7">
        <v>83094.99235</v>
      </c>
      <c r="P20" s="7">
        <v>83109.585999999996</v>
      </c>
      <c r="Q20" s="7">
        <v>83107.863249999995</v>
      </c>
      <c r="R20" s="7">
        <v>83147.048450000002</v>
      </c>
      <c r="S20" s="7">
        <v>83129.102350000001</v>
      </c>
      <c r="T20" s="7">
        <v>83207.030050000001</v>
      </c>
      <c r="U20" s="7">
        <v>83183.245800000004</v>
      </c>
    </row>
    <row r="21" spans="1:21">
      <c r="A21" s="7">
        <v>10</v>
      </c>
      <c r="B21" s="7">
        <v>83225.189799999993</v>
      </c>
      <c r="C21" s="7">
        <v>293.96535</v>
      </c>
      <c r="D21" s="7">
        <v>109.22284999999999</v>
      </c>
      <c r="E21" s="7">
        <v>83115.966950000002</v>
      </c>
      <c r="F21" s="7">
        <v>83173.142649999994</v>
      </c>
      <c r="G21" s="7">
        <v>82976.950849999994</v>
      </c>
      <c r="H21" s="7">
        <v>83055.471000000005</v>
      </c>
      <c r="I21" s="7">
        <v>83012.3073</v>
      </c>
      <c r="J21" s="7">
        <v>83013.528900000005</v>
      </c>
      <c r="K21" s="7">
        <v>83014.265499999994</v>
      </c>
      <c r="L21" s="7">
        <v>83034.620599999995</v>
      </c>
      <c r="M21" s="7">
        <v>83023.820850000004</v>
      </c>
      <c r="N21" s="7">
        <v>83197.837150000007</v>
      </c>
      <c r="O21" s="7">
        <v>83078.800050000005</v>
      </c>
      <c r="P21" s="7">
        <v>83098.377200000003</v>
      </c>
      <c r="Q21" s="7">
        <v>83097.162150000004</v>
      </c>
      <c r="R21" s="7">
        <v>83137.37</v>
      </c>
      <c r="S21" s="7">
        <v>83110.3024</v>
      </c>
      <c r="T21" s="7">
        <v>83201.800799999997</v>
      </c>
      <c r="U21" s="7">
        <v>83140.995550000007</v>
      </c>
    </row>
    <row r="22" spans="1:21">
      <c r="A22" s="7">
        <v>11</v>
      </c>
      <c r="B22" s="7">
        <v>83160.788449999993</v>
      </c>
      <c r="C22" s="7">
        <v>294.60744999999997</v>
      </c>
      <c r="D22" s="7">
        <v>109.92395</v>
      </c>
      <c r="E22" s="7">
        <v>83050.864499999996</v>
      </c>
      <c r="F22" s="7">
        <v>83100.601250000007</v>
      </c>
      <c r="G22" s="7">
        <v>82910.426099999997</v>
      </c>
      <c r="H22" s="7">
        <v>82990.853650000005</v>
      </c>
      <c r="I22" s="7">
        <v>82946.348050000001</v>
      </c>
      <c r="J22" s="7">
        <v>82945.597550000006</v>
      </c>
      <c r="K22" s="7">
        <v>82946.9666</v>
      </c>
      <c r="L22" s="7">
        <v>82966.681549999994</v>
      </c>
      <c r="M22" s="7">
        <v>82952.561549999999</v>
      </c>
      <c r="N22" s="7">
        <v>83133.35845</v>
      </c>
      <c r="O22" s="7">
        <v>83010.828299999994</v>
      </c>
      <c r="P22" s="7">
        <v>83031.275649999996</v>
      </c>
      <c r="Q22" s="7">
        <v>83030.848499999993</v>
      </c>
      <c r="R22" s="7">
        <v>83072.393599999996</v>
      </c>
      <c r="S22" s="7">
        <v>83046.067649999997</v>
      </c>
      <c r="T22" s="7">
        <v>83138.714749999999</v>
      </c>
      <c r="U22" s="7">
        <v>83079.870999999999</v>
      </c>
    </row>
    <row r="23" spans="1:21">
      <c r="A23" s="7">
        <v>12</v>
      </c>
      <c r="B23" s="7">
        <v>83208.758499999996</v>
      </c>
      <c r="C23" s="7">
        <v>294.42259999999999</v>
      </c>
      <c r="D23" s="7">
        <v>110.31565000000001</v>
      </c>
      <c r="E23" s="7">
        <v>83098.442850000007</v>
      </c>
      <c r="F23" s="7">
        <v>83132.044649999996</v>
      </c>
      <c r="G23" s="7">
        <v>82960.591149999993</v>
      </c>
      <c r="H23" s="7">
        <v>83039.731249999997</v>
      </c>
      <c r="I23" s="7">
        <v>82994.584300000002</v>
      </c>
      <c r="J23" s="7">
        <v>82993.629499999995</v>
      </c>
      <c r="K23" s="7">
        <v>82993.698950000005</v>
      </c>
      <c r="L23" s="7">
        <v>83013.7261</v>
      </c>
      <c r="M23" s="7">
        <v>83001.248250000004</v>
      </c>
      <c r="N23" s="7">
        <v>83180.0671</v>
      </c>
      <c r="O23" s="7">
        <v>83058.367549999995</v>
      </c>
      <c r="P23" s="7">
        <v>83079.951149999994</v>
      </c>
      <c r="Q23" s="7">
        <v>83080.880950000006</v>
      </c>
      <c r="R23" s="7">
        <v>83122.720499999996</v>
      </c>
      <c r="S23" s="7">
        <v>83098.637799999997</v>
      </c>
      <c r="T23" s="7">
        <v>83187.388349999994</v>
      </c>
      <c r="U23" s="7">
        <v>83135.472550000006</v>
      </c>
    </row>
    <row r="24" spans="1:21">
      <c r="A24" s="7">
        <v>13</v>
      </c>
      <c r="B24" s="7">
        <v>83196.860400000005</v>
      </c>
      <c r="C24" s="7">
        <v>294.33980000000003</v>
      </c>
      <c r="D24" s="7">
        <v>110.87915</v>
      </c>
      <c r="E24" s="7">
        <v>83085.981249999997</v>
      </c>
      <c r="F24" s="7">
        <v>83104.536250000005</v>
      </c>
      <c r="G24" s="7">
        <v>82945.197950000002</v>
      </c>
      <c r="H24" s="7">
        <v>83024.722500000003</v>
      </c>
      <c r="I24" s="7">
        <v>82978.244149999999</v>
      </c>
      <c r="J24" s="7">
        <v>82977.605649999998</v>
      </c>
      <c r="K24" s="7">
        <v>82978.73</v>
      </c>
      <c r="L24" s="7">
        <v>82997.034499999994</v>
      </c>
      <c r="M24" s="7">
        <v>82980.681800000006</v>
      </c>
      <c r="N24" s="7">
        <v>83167.365149999998</v>
      </c>
      <c r="O24" s="7">
        <v>83043.430250000005</v>
      </c>
      <c r="P24" s="7">
        <v>83066.313450000001</v>
      </c>
      <c r="Q24" s="7">
        <v>83068.052949999998</v>
      </c>
      <c r="R24" s="7">
        <v>83111.355850000007</v>
      </c>
      <c r="S24" s="7">
        <v>83088.30025</v>
      </c>
      <c r="T24" s="7">
        <v>83176.406199999998</v>
      </c>
      <c r="U24" s="7">
        <v>83128.715150000004</v>
      </c>
    </row>
    <row r="25" spans="1:21">
      <c r="A25" s="7">
        <v>14</v>
      </c>
      <c r="B25" s="7">
        <v>83198.139049999998</v>
      </c>
      <c r="C25" s="7">
        <v>294.24310000000003</v>
      </c>
      <c r="D25" s="7">
        <v>111.78574999999999</v>
      </c>
      <c r="E25" s="7">
        <v>83086.353300000002</v>
      </c>
      <c r="F25" s="7">
        <v>83087.183399999994</v>
      </c>
      <c r="G25" s="7">
        <v>82947.364650000003</v>
      </c>
      <c r="H25" s="7">
        <v>83026.116999999998</v>
      </c>
      <c r="I25" s="7">
        <v>82978.292350000003</v>
      </c>
      <c r="J25" s="7">
        <v>82977.016749999995</v>
      </c>
      <c r="K25" s="7">
        <v>82978.313049999997</v>
      </c>
      <c r="L25" s="7">
        <v>82997.315749999994</v>
      </c>
      <c r="M25" s="7">
        <v>82978.307499999995</v>
      </c>
      <c r="N25" s="7">
        <v>83167.015799999994</v>
      </c>
      <c r="O25" s="7">
        <v>83044.208799999993</v>
      </c>
      <c r="P25" s="7">
        <v>83068.331099999996</v>
      </c>
      <c r="Q25" s="7">
        <v>83070.698600000003</v>
      </c>
      <c r="R25" s="7">
        <v>83114.322</v>
      </c>
      <c r="S25" s="7">
        <v>83092.660799999998</v>
      </c>
      <c r="T25" s="7">
        <v>83178.185299999997</v>
      </c>
      <c r="U25" s="7">
        <v>83135.643400000001</v>
      </c>
    </row>
    <row r="26" spans="1:21">
      <c r="A26" s="7">
        <v>15</v>
      </c>
      <c r="B26" s="7">
        <v>83181.039449999997</v>
      </c>
      <c r="C26" s="7">
        <v>294.16269999999997</v>
      </c>
      <c r="D26" s="7">
        <v>107.1006</v>
      </c>
      <c r="E26" s="7">
        <v>83073.938850000006</v>
      </c>
      <c r="F26" s="7">
        <v>83050.032649999994</v>
      </c>
      <c r="G26" s="7">
        <v>82938.099700000006</v>
      </c>
      <c r="H26" s="7">
        <v>83013.053549999997</v>
      </c>
      <c r="I26" s="7">
        <v>82966.16</v>
      </c>
      <c r="J26" s="7">
        <v>82965.940950000004</v>
      </c>
      <c r="K26" s="7">
        <v>82964.554099999994</v>
      </c>
      <c r="L26" s="7">
        <v>82984.393849999993</v>
      </c>
      <c r="M26" s="7">
        <v>82967.354649999994</v>
      </c>
      <c r="N26" s="7">
        <v>83149.965249999994</v>
      </c>
      <c r="O26" s="7">
        <v>83032.748049999995</v>
      </c>
      <c r="P26" s="7">
        <v>83057.077000000005</v>
      </c>
      <c r="Q26" s="7">
        <v>83060.201700000005</v>
      </c>
      <c r="R26" s="7">
        <v>83102.48345</v>
      </c>
      <c r="S26" s="7">
        <v>83083.538549999997</v>
      </c>
      <c r="T26" s="7">
        <v>83162.380650000006</v>
      </c>
      <c r="U26" s="7">
        <v>83127.144650000002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7038-4D41-45A2-922B-629435867752}">
  <dimension ref="A1:H20"/>
  <sheetViews>
    <sheetView zoomScale="140" zoomScaleNormal="140" workbookViewId="0">
      <selection activeCell="D31" sqref="D31"/>
    </sheetView>
  </sheetViews>
  <sheetFormatPr defaultRowHeight="14.45"/>
  <sheetData>
    <row r="1" spans="1:8">
      <c r="A1" s="8" t="s">
        <v>24</v>
      </c>
      <c r="B1" s="8" t="s">
        <v>25</v>
      </c>
      <c r="C1" s="8" t="s">
        <v>26</v>
      </c>
      <c r="D1" s="8" t="s">
        <v>27</v>
      </c>
      <c r="E1" s="6"/>
      <c r="F1" s="8" t="s">
        <v>28</v>
      </c>
      <c r="G1" s="8" t="s">
        <v>29</v>
      </c>
      <c r="H1" s="8" t="s">
        <v>30</v>
      </c>
    </row>
    <row r="2" spans="1:8">
      <c r="A2" s="8"/>
      <c r="B2" s="8" t="s">
        <v>31</v>
      </c>
      <c r="C2" s="8" t="s">
        <v>31</v>
      </c>
      <c r="D2" s="8" t="s">
        <v>32</v>
      </c>
      <c r="E2" s="6"/>
      <c r="F2" s="8"/>
      <c r="G2" s="8" t="s">
        <v>31</v>
      </c>
      <c r="H2" s="8" t="s">
        <v>31</v>
      </c>
    </row>
    <row r="3" spans="1:8">
      <c r="A3" s="3">
        <v>1</v>
      </c>
      <c r="B3" s="3">
        <v>0</v>
      </c>
      <c r="C3" s="3">
        <v>3.7249100000000001E-3</v>
      </c>
      <c r="D3" s="3">
        <f>B3/$B$12</f>
        <v>0</v>
      </c>
      <c r="E3" s="1"/>
      <c r="F3" s="4" t="s">
        <v>33</v>
      </c>
      <c r="G3" s="3">
        <v>4.4450000000000002E-3</v>
      </c>
      <c r="H3" s="3">
        <v>4.6761400000000005E-3</v>
      </c>
    </row>
    <row r="4" spans="1:8">
      <c r="A4" s="3">
        <v>2</v>
      </c>
      <c r="B4" s="3">
        <v>4.4450000000000002E-3</v>
      </c>
      <c r="C4" s="3">
        <v>8.4010500000000002E-3</v>
      </c>
      <c r="D4" s="3">
        <f t="shared" ref="D4:D19" si="0">B4/$B$12</f>
        <v>4.9999999999999996E-2</v>
      </c>
      <c r="E4" s="1"/>
      <c r="F4" s="3" t="s">
        <v>34</v>
      </c>
      <c r="G4" s="3">
        <v>4.4450000000000002E-3</v>
      </c>
      <c r="H4" s="3">
        <v>1.8046699999999995E-3</v>
      </c>
    </row>
    <row r="5" spans="1:8">
      <c r="A5" s="3">
        <v>3</v>
      </c>
      <c r="B5" s="3">
        <v>8.8900000000000003E-3</v>
      </c>
      <c r="C5" s="3">
        <v>1.020572E-2</v>
      </c>
      <c r="D5" s="3">
        <f t="shared" si="0"/>
        <v>9.9999999999999992E-2</v>
      </c>
      <c r="E5" s="1"/>
      <c r="F5" s="3" t="s">
        <v>35</v>
      </c>
      <c r="G5" s="3">
        <v>8.8900000000000003E-3</v>
      </c>
      <c r="H5" s="3">
        <v>1.8846799999999997E-3</v>
      </c>
    </row>
    <row r="6" spans="1:8">
      <c r="A6" s="3">
        <v>4</v>
      </c>
      <c r="B6" s="3">
        <v>1.7780000000000001E-2</v>
      </c>
      <c r="C6" s="3">
        <v>1.2090399999999999E-2</v>
      </c>
      <c r="D6" s="3">
        <f t="shared" si="0"/>
        <v>0.19999999999999998</v>
      </c>
      <c r="E6" s="1"/>
      <c r="F6" s="3" t="s">
        <v>36</v>
      </c>
      <c r="G6" s="3">
        <v>8.8899999999999986E-3</v>
      </c>
      <c r="H6" s="3">
        <v>3.5560000000000105E-4</v>
      </c>
    </row>
    <row r="7" spans="1:8">
      <c r="A7" s="3">
        <v>5</v>
      </c>
      <c r="B7" s="3">
        <v>2.6669999999999999E-2</v>
      </c>
      <c r="C7" s="3">
        <v>1.2446E-2</v>
      </c>
      <c r="D7" s="3">
        <f t="shared" si="0"/>
        <v>0.3</v>
      </c>
      <c r="E7" s="1"/>
      <c r="F7" s="3" t="s">
        <v>37</v>
      </c>
      <c r="G7" s="3">
        <v>8.8900000000000021E-3</v>
      </c>
      <c r="H7" s="3">
        <v>-3.200400000000006E-4</v>
      </c>
    </row>
    <row r="8" spans="1:8">
      <c r="A8" s="3">
        <v>6</v>
      </c>
      <c r="B8" s="3">
        <v>3.5560000000000001E-2</v>
      </c>
      <c r="C8" s="3">
        <v>1.212596E-2</v>
      </c>
      <c r="D8" s="3">
        <f t="shared" si="0"/>
        <v>0.39999999999999997</v>
      </c>
      <c r="E8" s="1"/>
      <c r="F8" s="3" t="s">
        <v>38</v>
      </c>
      <c r="G8" s="3">
        <v>8.8900000000000021E-3</v>
      </c>
      <c r="H8" s="3">
        <v>-9.4233999999999984E-4</v>
      </c>
    </row>
    <row r="9" spans="1:8">
      <c r="A9" s="3">
        <v>7</v>
      </c>
      <c r="B9" s="3">
        <v>4.4450000000000003E-2</v>
      </c>
      <c r="C9" s="3">
        <v>1.118362E-2</v>
      </c>
      <c r="D9" s="3">
        <f t="shared" si="0"/>
        <v>0.5</v>
      </c>
      <c r="E9" s="1"/>
      <c r="F9" s="3" t="s">
        <v>39</v>
      </c>
      <c r="G9" s="3">
        <v>8.8899999999999951E-3</v>
      </c>
      <c r="H9" s="3">
        <v>-1.4490700000000002E-3</v>
      </c>
    </row>
    <row r="10" spans="1:8">
      <c r="A10" s="3">
        <v>8</v>
      </c>
      <c r="B10" s="3">
        <v>5.3339999999999999E-2</v>
      </c>
      <c r="C10" s="3">
        <v>9.7345499999999998E-3</v>
      </c>
      <c r="D10" s="3">
        <f t="shared" si="0"/>
        <v>0.6</v>
      </c>
      <c r="E10" s="1"/>
      <c r="F10" s="3" t="s">
        <v>40</v>
      </c>
      <c r="G10" s="3">
        <v>1.7780000000000004E-2</v>
      </c>
      <c r="H10" s="3">
        <v>-4.1782999999999994E-3</v>
      </c>
    </row>
    <row r="11" spans="1:8">
      <c r="A11" s="3">
        <v>9</v>
      </c>
      <c r="B11" s="3">
        <v>7.1120000000000003E-2</v>
      </c>
      <c r="C11" s="3">
        <v>5.5562500000000004E-3</v>
      </c>
      <c r="D11" s="3">
        <f t="shared" si="0"/>
        <v>0.79999999999999993</v>
      </c>
      <c r="E11" s="1"/>
      <c r="F11" s="3" t="s">
        <v>41</v>
      </c>
      <c r="G11" s="3">
        <v>1.7780000000000004E-2</v>
      </c>
      <c r="H11" s="3">
        <v>-5.5562500000000004E-3</v>
      </c>
    </row>
    <row r="12" spans="1:8">
      <c r="A12" s="3" t="s">
        <v>42</v>
      </c>
      <c r="B12" s="3">
        <v>8.8900000000000007E-2</v>
      </c>
      <c r="C12" s="3">
        <v>0</v>
      </c>
      <c r="D12" s="3">
        <f t="shared" si="0"/>
        <v>1</v>
      </c>
      <c r="E12" s="1"/>
      <c r="F12" s="3" t="s">
        <v>43</v>
      </c>
      <c r="G12" s="3">
        <v>1.7780000000000004E-2</v>
      </c>
      <c r="H12" s="3">
        <v>0</v>
      </c>
    </row>
    <row r="13" spans="1:8">
      <c r="A13" s="3">
        <v>10</v>
      </c>
      <c r="B13" s="3">
        <v>7.1120000000000003E-2</v>
      </c>
      <c r="C13" s="3">
        <v>0</v>
      </c>
      <c r="D13" s="3">
        <f t="shared" si="0"/>
        <v>0.79999999999999993</v>
      </c>
      <c r="E13" s="1"/>
      <c r="F13" s="5" t="s">
        <v>44</v>
      </c>
      <c r="G13" s="3">
        <v>1.7780000000000004E-2</v>
      </c>
      <c r="H13" s="3">
        <v>0</v>
      </c>
    </row>
    <row r="14" spans="1:8">
      <c r="A14" s="3">
        <v>11</v>
      </c>
      <c r="B14" s="3">
        <v>5.3339999999999999E-2</v>
      </c>
      <c r="C14" s="3">
        <v>0</v>
      </c>
      <c r="D14" s="3">
        <f t="shared" si="0"/>
        <v>0.6</v>
      </c>
      <c r="E14" s="1"/>
      <c r="F14" s="5" t="s">
        <v>45</v>
      </c>
      <c r="G14" s="3">
        <v>1.7779999999999997E-2</v>
      </c>
      <c r="H14" s="3">
        <v>0</v>
      </c>
    </row>
    <row r="15" spans="1:8">
      <c r="A15" s="3">
        <v>12</v>
      </c>
      <c r="B15" s="3">
        <v>3.5560000000000001E-2</v>
      </c>
      <c r="C15" s="3">
        <v>0</v>
      </c>
      <c r="D15" s="3">
        <f t="shared" si="0"/>
        <v>0.39999999999999997</v>
      </c>
      <c r="E15" s="1"/>
      <c r="F15" s="5" t="s">
        <v>46</v>
      </c>
      <c r="G15" s="3">
        <v>8.8900000000000021E-3</v>
      </c>
      <c r="H15" s="3">
        <v>0</v>
      </c>
    </row>
    <row r="16" spans="1:8">
      <c r="A16" s="3">
        <v>13</v>
      </c>
      <c r="B16" s="3">
        <v>2.6669999999999999E-2</v>
      </c>
      <c r="C16" s="3">
        <v>0</v>
      </c>
      <c r="D16" s="3">
        <f t="shared" si="0"/>
        <v>0.3</v>
      </c>
      <c r="E16" s="1"/>
      <c r="F16" s="5" t="s">
        <v>47</v>
      </c>
      <c r="G16" s="3">
        <v>8.8899999999999986E-3</v>
      </c>
      <c r="H16" s="3">
        <v>-3.5559999999999998E-5</v>
      </c>
    </row>
    <row r="17" spans="1:8">
      <c r="A17" s="3">
        <v>14</v>
      </c>
      <c r="B17" s="3">
        <v>1.7780000000000001E-2</v>
      </c>
      <c r="C17" s="3">
        <v>3.5559999999999998E-5</v>
      </c>
      <c r="D17" s="3">
        <f t="shared" si="0"/>
        <v>0.19999999999999998</v>
      </c>
      <c r="E17" s="1"/>
      <c r="F17" s="5" t="s">
        <v>48</v>
      </c>
      <c r="G17" s="3">
        <v>8.8900000000000003E-3</v>
      </c>
      <c r="H17" s="3">
        <v>-4.0894E-4</v>
      </c>
    </row>
    <row r="18" spans="1:8">
      <c r="A18" s="3">
        <v>15</v>
      </c>
      <c r="B18" s="3">
        <v>8.8900000000000003E-3</v>
      </c>
      <c r="C18" s="3">
        <v>4.4450000000000002E-4</v>
      </c>
      <c r="D18" s="3">
        <f t="shared" si="0"/>
        <v>9.9999999999999992E-2</v>
      </c>
      <c r="E18" s="1"/>
      <c r="F18" s="5" t="s">
        <v>49</v>
      </c>
      <c r="G18" s="3">
        <v>4.4450000000000002E-3</v>
      </c>
      <c r="H18" s="3">
        <v>-5.4228999999999996E-4</v>
      </c>
    </row>
    <row r="19" spans="1:8">
      <c r="A19" s="3">
        <v>16</v>
      </c>
      <c r="B19" s="3">
        <v>4.4450000000000002E-3</v>
      </c>
      <c r="C19" s="3">
        <v>9.8678999999999998E-4</v>
      </c>
      <c r="D19" s="3">
        <f t="shared" si="0"/>
        <v>4.9999999999999996E-2</v>
      </c>
      <c r="E19" s="1"/>
      <c r="F19" s="5" t="s">
        <v>50</v>
      </c>
      <c r="G19" s="3">
        <v>4.4450000000000002E-3</v>
      </c>
      <c r="H19" s="3">
        <v>-2.7381200000000001E-3</v>
      </c>
    </row>
    <row r="20" spans="1:8">
      <c r="A20" s="1"/>
      <c r="B20" s="1"/>
      <c r="C20" s="1"/>
      <c r="D20" s="1"/>
      <c r="E20" s="1"/>
      <c r="F20" s="1"/>
      <c r="G20" s="1"/>
      <c r="H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1016-71A5-452C-A287-4F50F8A526EC}">
  <dimension ref="A1:D33"/>
  <sheetViews>
    <sheetView tabSelected="1" workbookViewId="0">
      <selection activeCell="G44" sqref="G44"/>
    </sheetView>
  </sheetViews>
  <sheetFormatPr defaultRowHeight="14.45"/>
  <sheetData>
    <row r="1" spans="1:4">
      <c r="A1" s="2" t="s">
        <v>51</v>
      </c>
    </row>
    <row r="2" spans="1:4">
      <c r="A2" t="s">
        <v>52</v>
      </c>
      <c r="B2" t="s">
        <v>53</v>
      </c>
    </row>
    <row r="4" spans="1:4">
      <c r="A4" s="9" t="s">
        <v>54</v>
      </c>
      <c r="B4" s="9" t="s">
        <v>0</v>
      </c>
      <c r="C4" s="9" t="s">
        <v>55</v>
      </c>
      <c r="D4" s="9" t="s">
        <v>56</v>
      </c>
    </row>
    <row r="5" spans="1:4">
      <c r="A5" s="9" t="s">
        <v>32</v>
      </c>
      <c r="B5" s="9" t="s">
        <v>21</v>
      </c>
      <c r="C5" s="9" t="s">
        <v>32</v>
      </c>
      <c r="D5" s="9" t="s">
        <v>32</v>
      </c>
    </row>
    <row r="6" spans="1:4">
      <c r="A6" s="7">
        <v>100000</v>
      </c>
      <c r="B6" s="7">
        <v>-8</v>
      </c>
      <c r="C6" s="7">
        <v>-0.4194</v>
      </c>
      <c r="D6" s="7">
        <v>9.6159999999999995E-2</v>
      </c>
    </row>
    <row r="7" spans="1:4">
      <c r="A7" s="7"/>
      <c r="B7" s="7">
        <v>-7</v>
      </c>
      <c r="C7" s="7">
        <v>-0.56830000000000003</v>
      </c>
      <c r="D7" s="7">
        <v>5.4780000000000002E-2</v>
      </c>
    </row>
    <row r="8" spans="1:4">
      <c r="A8" s="7"/>
      <c r="B8" s="7">
        <v>-6</v>
      </c>
      <c r="C8" s="7">
        <v>-0.47770000000000001</v>
      </c>
      <c r="D8" s="7">
        <v>3.7100000000000001E-2</v>
      </c>
    </row>
    <row r="9" spans="1:4">
      <c r="A9" s="7"/>
      <c r="B9" s="7">
        <v>-5</v>
      </c>
      <c r="C9" s="7">
        <v>-0.3463</v>
      </c>
      <c r="D9" s="7">
        <v>3.107E-2</v>
      </c>
    </row>
    <row r="10" spans="1:4">
      <c r="A10" s="7"/>
      <c r="B10" s="7">
        <v>-4</v>
      </c>
      <c r="C10" s="7">
        <v>-0.2102</v>
      </c>
      <c r="D10" s="7">
        <v>2.7629999999999998E-2</v>
      </c>
    </row>
    <row r="11" spans="1:4">
      <c r="A11" s="7"/>
      <c r="B11" s="7">
        <v>-3</v>
      </c>
      <c r="C11" s="7">
        <v>-8.6499999999999994E-2</v>
      </c>
      <c r="D11" s="7">
        <v>2.6249999999999999E-2</v>
      </c>
    </row>
    <row r="12" spans="1:4">
      <c r="A12" s="7"/>
      <c r="B12" s="7">
        <v>-2</v>
      </c>
      <c r="C12" s="7">
        <v>6.5199999999999994E-2</v>
      </c>
      <c r="D12" s="7">
        <v>2.3560000000000001E-2</v>
      </c>
    </row>
    <row r="13" spans="1:4">
      <c r="A13" s="7"/>
      <c r="B13" s="7">
        <v>-1</v>
      </c>
      <c r="C13" s="7">
        <v>0.24560000000000001</v>
      </c>
      <c r="D13" s="7">
        <v>2.1700000000000001E-2</v>
      </c>
    </row>
    <row r="14" spans="1:4">
      <c r="A14" s="7"/>
      <c r="B14" s="7">
        <v>0</v>
      </c>
      <c r="C14" s="7">
        <v>0.46489999999999998</v>
      </c>
      <c r="D14" s="7">
        <v>2.0160000000000001E-2</v>
      </c>
    </row>
    <row r="15" spans="1:4">
      <c r="A15" s="7"/>
      <c r="B15" s="7">
        <v>1</v>
      </c>
      <c r="C15" s="7">
        <v>0.55310000000000004</v>
      </c>
      <c r="D15" s="7">
        <v>1.9609999999999999E-2</v>
      </c>
    </row>
    <row r="16" spans="1:4">
      <c r="A16" s="7"/>
      <c r="B16" s="7">
        <v>2</v>
      </c>
      <c r="C16" s="7">
        <v>0.65639999999999998</v>
      </c>
      <c r="D16" s="7">
        <v>1.8890000000000001E-2</v>
      </c>
    </row>
    <row r="17" spans="1:4">
      <c r="A17" s="7"/>
      <c r="B17" s="7">
        <v>3</v>
      </c>
      <c r="C17" s="7">
        <v>0.74890000000000001</v>
      </c>
      <c r="D17" s="7">
        <v>1.866E-2</v>
      </c>
    </row>
    <row r="18" spans="1:4">
      <c r="A18" s="7"/>
      <c r="B18" s="7">
        <v>4</v>
      </c>
      <c r="C18" s="7">
        <v>0.84640000000000004</v>
      </c>
      <c r="D18" s="7">
        <v>1.8769999999999998E-2</v>
      </c>
    </row>
    <row r="19" spans="1:4">
      <c r="A19" s="7"/>
      <c r="B19" s="7">
        <v>5</v>
      </c>
      <c r="C19" s="7">
        <v>0.93469999999999998</v>
      </c>
      <c r="D19" s="7">
        <v>2.0029999999999999E-2</v>
      </c>
    </row>
    <row r="20" spans="1:4">
      <c r="A20" s="7"/>
      <c r="B20" s="7">
        <v>6</v>
      </c>
      <c r="C20" s="7">
        <v>1.0304</v>
      </c>
      <c r="D20" s="7">
        <v>2.1749999999999999E-2</v>
      </c>
    </row>
    <row r="21" spans="1:4">
      <c r="A21" s="7"/>
      <c r="B21" s="7">
        <v>7</v>
      </c>
      <c r="C21" s="7">
        <v>1.1184000000000001</v>
      </c>
      <c r="D21" s="7">
        <v>2.3740000000000001E-2</v>
      </c>
    </row>
    <row r="22" spans="1:4">
      <c r="A22" s="7"/>
      <c r="B22" s="7">
        <v>8</v>
      </c>
      <c r="C22" s="7">
        <v>1.2027000000000001</v>
      </c>
      <c r="D22" s="7">
        <v>2.5590000000000002E-2</v>
      </c>
    </row>
    <row r="23" spans="1:4">
      <c r="A23" s="7"/>
      <c r="B23" s="7">
        <v>9</v>
      </c>
      <c r="C23" s="7">
        <v>1.2858000000000001</v>
      </c>
      <c r="D23" s="7">
        <v>2.7730000000000001E-2</v>
      </c>
    </row>
    <row r="24" spans="1:4">
      <c r="A24" s="7"/>
      <c r="B24" s="7">
        <v>10</v>
      </c>
      <c r="C24" s="7">
        <v>1.3682000000000001</v>
      </c>
      <c r="D24" s="7">
        <v>3.0099999999999998E-2</v>
      </c>
    </row>
    <row r="25" spans="1:4">
      <c r="A25" s="7"/>
      <c r="B25" s="7">
        <v>11</v>
      </c>
      <c r="C25" s="7">
        <v>1.4121999999999999</v>
      </c>
      <c r="D25" s="7">
        <v>3.3029999999999997E-2</v>
      </c>
    </row>
    <row r="26" spans="1:4">
      <c r="A26" s="7"/>
      <c r="B26" s="7">
        <v>12</v>
      </c>
      <c r="C26" s="7">
        <v>1.4421999999999999</v>
      </c>
      <c r="D26" s="7">
        <v>3.601E-2</v>
      </c>
    </row>
    <row r="27" spans="1:4">
      <c r="A27" s="7"/>
      <c r="B27" s="7">
        <v>13</v>
      </c>
      <c r="C27" s="7">
        <v>1.4463999999999999</v>
      </c>
      <c r="D27" s="7">
        <v>4.0939999999999997E-2</v>
      </c>
    </row>
    <row r="28" spans="1:4">
      <c r="A28" s="7"/>
      <c r="B28" s="7">
        <v>14</v>
      </c>
      <c r="C28" s="7">
        <v>1.476</v>
      </c>
      <c r="D28" s="7">
        <v>4.6649999999999997E-2</v>
      </c>
    </row>
    <row r="29" spans="1:4">
      <c r="A29" s="7"/>
      <c r="B29" s="7">
        <v>15</v>
      </c>
      <c r="C29" s="7">
        <v>1.48</v>
      </c>
      <c r="D29" s="7">
        <v>5.5070000000000001E-2</v>
      </c>
    </row>
    <row r="30" spans="1:4">
      <c r="A30" s="7"/>
      <c r="B30" s="7">
        <v>16</v>
      </c>
      <c r="C30" s="7">
        <v>1.4685999999999999</v>
      </c>
      <c r="D30" s="7">
        <v>6.54E-2</v>
      </c>
    </row>
    <row r="31" spans="1:4">
      <c r="A31" s="7"/>
      <c r="B31" s="7">
        <v>17</v>
      </c>
      <c r="C31" s="7">
        <v>1.4205000000000001</v>
      </c>
      <c r="D31" s="7">
        <v>8.0810000000000007E-2</v>
      </c>
    </row>
    <row r="32" spans="1:4">
      <c r="A32" s="7"/>
      <c r="B32" s="7">
        <v>18</v>
      </c>
      <c r="C32" s="7">
        <v>1.2904</v>
      </c>
      <c r="D32" s="7">
        <v>0.11216</v>
      </c>
    </row>
    <row r="33" spans="1:4">
      <c r="A33" s="7"/>
      <c r="B33" s="7">
        <v>19</v>
      </c>
      <c r="C33" s="7">
        <v>0.93669999999999998</v>
      </c>
      <c r="D33" s="7">
        <v>0.22378000000000001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F11C-6199-4F08-8FE3-64CBCF24AAA4}">
  <dimension ref="A1:D13"/>
  <sheetViews>
    <sheetView workbookViewId="0">
      <selection activeCell="J41" sqref="J41"/>
    </sheetView>
  </sheetViews>
  <sheetFormatPr defaultRowHeight="14.45"/>
  <cols>
    <col min="1" max="1" width="11" customWidth="1"/>
    <col min="2" max="2" width="9.140625" bestFit="1" customWidth="1"/>
  </cols>
  <sheetData>
    <row r="1" spans="1:4">
      <c r="A1" s="2" t="s">
        <v>57</v>
      </c>
    </row>
    <row r="2" spans="1:4">
      <c r="A2" s="8" t="s">
        <v>54</v>
      </c>
      <c r="B2" s="8" t="s">
        <v>0</v>
      </c>
      <c r="C2" s="8" t="s">
        <v>55</v>
      </c>
      <c r="D2" s="8" t="s">
        <v>56</v>
      </c>
    </row>
    <row r="3" spans="1:4">
      <c r="A3" s="8" t="s">
        <v>32</v>
      </c>
      <c r="B3" s="8" t="s">
        <v>21</v>
      </c>
      <c r="C3" s="8" t="s">
        <v>32</v>
      </c>
      <c r="D3" s="8" t="s">
        <v>32</v>
      </c>
    </row>
    <row r="4" spans="1:4">
      <c r="A4" s="3">
        <v>3020000</v>
      </c>
      <c r="B4" s="3">
        <v>-8</v>
      </c>
      <c r="C4" s="3">
        <v>-0.12</v>
      </c>
      <c r="D4" s="3">
        <v>1.4999999999999999E-2</v>
      </c>
    </row>
    <row r="5" spans="1:4">
      <c r="A5" s="3"/>
      <c r="B5" s="3">
        <v>-4</v>
      </c>
      <c r="C5" s="3">
        <v>0.18</v>
      </c>
      <c r="D5" s="3">
        <v>1.4999999999999999E-2</v>
      </c>
    </row>
    <row r="6" spans="1:4">
      <c r="A6" s="3"/>
      <c r="B6" s="3">
        <v>0</v>
      </c>
      <c r="C6" s="3">
        <v>0.48</v>
      </c>
      <c r="D6" s="3">
        <v>0.02</v>
      </c>
    </row>
    <row r="7" spans="1:4">
      <c r="A7" s="3"/>
      <c r="B7" s="3">
        <v>4</v>
      </c>
      <c r="C7" s="3">
        <v>0.78</v>
      </c>
      <c r="D7" s="3">
        <v>0.04</v>
      </c>
    </row>
    <row r="8" spans="1:4">
      <c r="A8" s="3"/>
      <c r="B8" s="3">
        <v>8</v>
      </c>
      <c r="C8" s="3">
        <v>1.08</v>
      </c>
      <c r="D8" s="3">
        <v>0.08</v>
      </c>
    </row>
    <row r="9" spans="1:4">
      <c r="A9" s="3"/>
      <c r="B9" s="3">
        <v>12</v>
      </c>
      <c r="C9" s="3">
        <v>1.3</v>
      </c>
      <c r="D9" s="3">
        <v>0.12</v>
      </c>
    </row>
    <row r="10" spans="1:4">
      <c r="A10" s="3"/>
      <c r="B10" s="3">
        <v>16</v>
      </c>
      <c r="C10" s="3">
        <v>1.52</v>
      </c>
      <c r="D10" s="3">
        <v>0.17</v>
      </c>
    </row>
    <row r="11" spans="1:4">
      <c r="A11" s="3"/>
      <c r="B11" s="3">
        <v>20</v>
      </c>
      <c r="C11" s="3">
        <v>1.58</v>
      </c>
      <c r="D11" s="3">
        <v>0.24</v>
      </c>
    </row>
    <row r="12" spans="1:4">
      <c r="A12" s="3"/>
      <c r="B12" s="3">
        <v>24</v>
      </c>
      <c r="C12" s="3">
        <v>1.45</v>
      </c>
      <c r="D12" s="3">
        <v>0.36</v>
      </c>
    </row>
    <row r="13" spans="1:4">
      <c r="A13" s="3"/>
      <c r="B13" s="3">
        <v>28</v>
      </c>
      <c r="C13" s="3">
        <v>1.28</v>
      </c>
      <c r="D13" s="3">
        <v>0.46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K Mah</dc:creator>
  <cp:keywords/>
  <dc:description/>
  <cp:lastModifiedBy>Kong Yu Kang</cp:lastModifiedBy>
  <cp:revision/>
  <dcterms:created xsi:type="dcterms:W3CDTF">2025-12-30T19:30:19Z</dcterms:created>
  <dcterms:modified xsi:type="dcterms:W3CDTF">2026-01-16T17:29:57Z</dcterms:modified>
  <cp:category/>
  <cp:contentStatus/>
</cp:coreProperties>
</file>